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" sheetId="1" r:id="rId5"/>
    <sheet state="visible" name="Metas e Benchmark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Estimado a partir do CPL de R$ 13,29 reportado em maio. Atualizar com o valor real do gerenciador.</t>
      </text>
    </comment>
  </commentList>
</comments>
</file>

<file path=xl/sharedStrings.xml><?xml version="1.0" encoding="utf-8"?>
<sst xmlns="http://schemas.openxmlformats.org/spreadsheetml/2006/main" count="104" uniqueCount="66">
  <si>
    <t>PAINEL DE MÉTRICAS COMERCIAIS — 2026</t>
  </si>
  <si>
    <t>METAS &amp; BENCHMARKS DE REFERÊNCIA</t>
  </si>
  <si>
    <t>PREVIDENCIÁRIO</t>
  </si>
  <si>
    <t>Roger Bento — Adv. Roger Bento   ·   Células azuis = preencher todo mês   ·   Demais = cálculo automático</t>
  </si>
  <si>
    <t>CPL ideal (mercado)</t>
  </si>
  <si>
    <t>R$ 10,00</t>
  </si>
  <si>
    <t>Maio fechou em R$ 15 — reduzir com novos criativos.</t>
  </si>
  <si>
    <t>Indicador</t>
  </si>
  <si>
    <t>Conversão (benchmark)</t>
  </si>
  <si>
    <t>15%</t>
  </si>
  <si>
    <t>Lucas atingiu 16% em maio — acima do mercado.</t>
  </si>
  <si>
    <t>Meta de contratos</t>
  </si>
  <si>
    <t>Tipo</t>
  </si>
  <si>
    <t>20</t>
  </si>
  <si>
    <t>Mantida para junho.</t>
  </si>
  <si>
    <t>TRABALHISTA</t>
  </si>
  <si>
    <t>Maio</t>
  </si>
  <si>
    <t>CPL atual</t>
  </si>
  <si>
    <t>Junho</t>
  </si>
  <si>
    <t>R$ 13,29</t>
  </si>
  <si>
    <t>Custo bom; há margem de ~R$ 5 para subir e ganhar qualidade.</t>
  </si>
  <si>
    <t>Julho</t>
  </si>
  <si>
    <t>Agosto</t>
  </si>
  <si>
    <t>Lead TikTok</t>
  </si>
  <si>
    <t>R$ 3–5</t>
  </si>
  <si>
    <t>Setembro</t>
  </si>
  <si>
    <t>Barato; muito curioso. Vale com SDR dedicada.</t>
  </si>
  <si>
    <t>Outubro</t>
  </si>
  <si>
    <t>Taxa de agendamento ideal</t>
  </si>
  <si>
    <t>20%</t>
  </si>
  <si>
    <t>Maio em 12%.</t>
  </si>
  <si>
    <t>Novembro</t>
  </si>
  <si>
    <t>Conversão em reunião ideal</t>
  </si>
  <si>
    <t>Dezembro</t>
  </si>
  <si>
    <t>PREVIDENCIÁRIO  (BPC / LOAS)</t>
  </si>
  <si>
    <t>30%</t>
  </si>
  <si>
    <t>No-show (teto aceitável)</t>
  </si>
  <si>
    <t>40%</t>
  </si>
  <si>
    <t>Maio com 9 de 14 reuniões — crítico.</t>
  </si>
  <si>
    <t>7</t>
  </si>
  <si>
    <t>Meta inicial; refinar com as métricas.</t>
  </si>
  <si>
    <t>Investimento em anúncio (R$)</t>
  </si>
  <si>
    <t>input</t>
  </si>
  <si>
    <t>LEADS QUALIFICADOS</t>
  </si>
  <si>
    <t>Leads reportados (marketing)</t>
  </si>
  <si>
    <t>Leads recebidos (Kinbox)</t>
  </si>
  <si>
    <t>Déficit de leads (não entraram)</t>
  </si>
  <si>
    <t>fórmula</t>
  </si>
  <si>
    <t>CPL — custo por lead (R$)</t>
  </si>
  <si>
    <t>Contratos fechados</t>
  </si>
  <si>
    <t>Conversão (contratos / leads)</t>
  </si>
  <si>
    <t>Reuniões agendadas</t>
  </si>
  <si>
    <t>Reuniões comparecidas</t>
  </si>
  <si>
    <t>No-show</t>
  </si>
  <si>
    <t xml:space="preserve">META DE REUNIÕES </t>
  </si>
  <si>
    <t>Taxa de no-show</t>
  </si>
  <si>
    <t>Taxa de agendamento (reuniões / leads)</t>
  </si>
  <si>
    <t>Em negociação</t>
  </si>
  <si>
    <t>Conversão em reunião (contratos / reuniões comparecidas)</t>
  </si>
  <si>
    <t>CONSOLIDADO</t>
  </si>
  <si>
    <t>Total de leads recebidos</t>
  </si>
  <si>
    <t>Investimento total (R$)</t>
  </si>
  <si>
    <t>Total de contratos</t>
  </si>
  <si>
    <t>Custo por contrato (R$)</t>
  </si>
  <si>
    <t>Meta total de contratos</t>
  </si>
  <si>
    <t>Atingimento da 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</si>
</sst>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0.0%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i/>
      <sz val="9.0"/>
      <color rgb="FF555555"/>
      <name val="Arial"/>
    </font>
    <font>
      <sz val="9.0"/>
      <color rgb="FF222222"/>
      <name val="Arial"/>
    </font>
    <font>
      <b/>
      <sz val="9.0"/>
      <color rgb="FF2E7D32"/>
      <name val="Arial"/>
    </font>
    <font>
      <sz val="9.0"/>
      <color rgb="FF555555"/>
      <name val="Arial"/>
    </font>
    <font>
      <b/>
      <sz val="9.0"/>
      <color rgb="FFFFFFFF"/>
      <name val="Arial"/>
    </font>
    <font>
      <sz val="8.0"/>
      <color rgb="FF888888"/>
      <name val="Arial"/>
    </font>
    <font>
      <sz val="9.0"/>
      <color rgb="FF0000FF"/>
      <name val="Arial"/>
    </font>
    <font>
      <sz val="9.0"/>
      <color rgb="FF000000"/>
      <name val="Arial"/>
    </font>
    <font>
      <b/>
      <sz val="9.0"/>
      <color rgb="FF222222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3294B"/>
        <bgColor rgb="FF13294B"/>
      </patternFill>
    </fill>
    <fill>
      <patternFill patternType="solid">
        <fgColor rgb="FF2E4057"/>
        <bgColor rgb="FF2E4057"/>
      </patternFill>
    </fill>
    <fill>
      <patternFill patternType="solid">
        <fgColor rgb="FFF4F1EA"/>
        <bgColor rgb="FFF4F1EA"/>
      </patternFill>
    </fill>
    <fill>
      <patternFill patternType="solid">
        <fgColor rgb="FFC8A04B"/>
        <bgColor rgb="FFC8A04B"/>
      </patternFill>
    </fill>
    <fill>
      <patternFill patternType="solid">
        <fgColor rgb="FF00FF00"/>
        <bgColor rgb="FF00FF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5" fillId="2" fontId="3" numFmtId="0" xfId="0" applyAlignment="1" applyBorder="1" applyFill="1" applyFont="1">
      <alignment horizontal="left" shrinkToFit="0" vertical="center" wrapText="0"/>
    </xf>
    <xf borderId="5" fillId="2" fontId="8" numFmtId="0" xfId="0" applyAlignment="1" applyBorder="1" applyFill="1" applyFont="1">
      <alignment horizontal="center" shrinkToFit="0" vertical="center" wrapText="0"/>
    </xf>
    <xf borderId="5" fillId="2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10" numFmtId="164" xfId="0" applyAlignment="1" applyBorder="1" applyFont="1" applyNumberFormat="1">
      <alignment horizontal="center" shrinkToFit="0" vertical="center" wrapText="0"/>
    </xf>
    <xf borderId="4" fillId="0" fontId="10" numFmtId="164" xfId="0" applyAlignment="1" applyBorder="1" applyFont="1" applyNumberFormat="1">
      <alignment horizontal="center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4" fillId="0" fontId="10" numFmtId="3" xfId="0" applyAlignment="1" applyBorder="1" applyFont="1" applyNumberFormat="1">
      <alignment horizontal="center" shrinkToFit="0" vertical="center" wrapText="0"/>
    </xf>
    <xf borderId="4" fillId="0" fontId="10" numFmtId="3" xfId="0" applyAlignment="1" applyBorder="1" applyFont="1" applyNumberFormat="1">
      <alignment horizontal="center" readingOrder="0" shrinkToFit="0" vertical="center" wrapText="0"/>
    </xf>
    <xf borderId="4" fillId="0" fontId="11" numFmtId="3" xfId="0" applyAlignment="1" applyBorder="1" applyFont="1" applyNumberFormat="1">
      <alignment horizontal="center" shrinkToFit="0" vertical="center" wrapText="0"/>
    </xf>
    <xf borderId="4" fillId="0" fontId="11" numFmtId="164" xfId="0" applyAlignment="1" applyBorder="1" applyFont="1" applyNumberFormat="1">
      <alignment horizontal="center" shrinkToFit="0" vertical="center" wrapText="0"/>
    </xf>
    <xf borderId="4" fillId="0" fontId="12" numFmtId="0" xfId="0" applyAlignment="1" applyBorder="1" applyFont="1">
      <alignment horizontal="left" shrinkToFit="0" vertical="center" wrapText="0"/>
    </xf>
    <xf borderId="4" fillId="0" fontId="11" numFmtId="165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left" readingOrder="0" shrinkToFit="0" vertical="center" wrapText="0"/>
    </xf>
    <xf borderId="4" fillId="0" fontId="11" numFmtId="165" xfId="0" applyAlignment="1" applyBorder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horizontal="left" shrinkToFit="0" vertical="center" wrapText="0"/>
    </xf>
    <xf borderId="4" fillId="6" fontId="12" numFmtId="0" xfId="0" applyAlignment="1" applyBorder="1" applyFill="1" applyFont="1">
      <alignment horizontal="left" shrinkToFit="0" vertical="center" wrapText="0"/>
    </xf>
    <xf borderId="4" fillId="6" fontId="9" numFmtId="0" xfId="0" applyAlignment="1" applyBorder="1" applyFill="1" applyFont="1">
      <alignment horizontal="center" shrinkToFit="0" vertical="center" wrapText="0"/>
    </xf>
    <xf borderId="4" fillId="6" fontId="11" numFmtId="3" xfId="0" applyAlignment="1" applyBorder="1" applyFill="1" applyFont="1" applyNumberFormat="1">
      <alignment horizontal="center" shrinkToFit="0" vertical="center" wrapText="0"/>
    </xf>
    <xf borderId="0" fillId="6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8.0"/>
    <col customWidth="1" min="2" max="2" width="9.0"/>
    <col customWidth="1" min="3" max="3" width="33.43"/>
    <col customWidth="1" min="4" max="4" width="33.14"/>
    <col customWidth="1" min="5" max="5" width="32.43"/>
    <col customWidth="1" min="6" max="6" width="23.86"/>
    <col customWidth="1" min="7" max="7" width="22.29"/>
    <col customWidth="1" min="8" max="8" width="26.0"/>
    <col customWidth="1" min="9" max="9" width="32.43"/>
    <col customWidth="1" min="10" max="10" width="39.71"/>
    <col customWidth="1" min="11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5" t="s">
        <v>3</v>
      </c>
      <c r="B2" s="2"/>
      <c r="C2" s="2"/>
      <c r="D2" s="2"/>
      <c r="E2" s="2"/>
      <c r="F2" s="2"/>
      <c r="G2" s="2"/>
      <c r="H2" s="2"/>
      <c r="I2" s="2"/>
      <c r="J2" s="3"/>
    </row>
    <row r="4" ht="19.5" customHeight="1">
      <c r="A4" s="9" t="s">
        <v>7</v>
      </c>
      <c r="B4" s="10" t="s">
        <v>12</v>
      </c>
      <c r="C4" s="11" t="s">
        <v>16</v>
      </c>
      <c r="D4" s="11" t="s">
        <v>18</v>
      </c>
      <c r="E4" s="11" t="s">
        <v>21</v>
      </c>
      <c r="F4" s="11" t="s">
        <v>22</v>
      </c>
      <c r="G4" s="11" t="s">
        <v>25</v>
      </c>
      <c r="H4" s="11" t="s">
        <v>27</v>
      </c>
      <c r="I4" s="11" t="s">
        <v>31</v>
      </c>
      <c r="J4" s="11" t="s">
        <v>33</v>
      </c>
    </row>
    <row r="5" ht="18.0" customHeight="1">
      <c r="A5" s="12" t="s">
        <v>34</v>
      </c>
      <c r="B5" s="2"/>
      <c r="C5" s="2"/>
      <c r="D5" s="2"/>
      <c r="E5" s="2"/>
      <c r="F5" s="2"/>
      <c r="G5" s="2"/>
      <c r="H5" s="2"/>
      <c r="I5" s="2"/>
      <c r="J5" s="3"/>
    </row>
    <row r="6">
      <c r="A6" s="6" t="s">
        <v>41</v>
      </c>
      <c r="B6" s="13" t="s">
        <v>42</v>
      </c>
      <c r="C6" s="14">
        <v>1545.0</v>
      </c>
      <c r="D6" s="15">
        <v>1974.59</v>
      </c>
      <c r="E6" s="15">
        <v>1891.12</v>
      </c>
      <c r="F6" s="15">
        <v>1984.0</v>
      </c>
      <c r="G6" s="14"/>
      <c r="H6" s="14"/>
      <c r="I6" s="14"/>
      <c r="J6" s="14"/>
    </row>
    <row r="7">
      <c r="A7" s="16" t="s">
        <v>43</v>
      </c>
      <c r="B7" s="13"/>
      <c r="C7" s="17"/>
      <c r="D7" s="18"/>
      <c r="E7" s="17"/>
      <c r="F7" s="17"/>
      <c r="G7" s="17"/>
      <c r="H7" s="17"/>
      <c r="I7" s="17"/>
      <c r="J7" s="17"/>
    </row>
    <row r="8">
      <c r="A8" s="6" t="s">
        <v>44</v>
      </c>
      <c r="B8" s="13" t="s">
        <v>42</v>
      </c>
      <c r="C8" s="17">
        <v>147.0</v>
      </c>
      <c r="D8" s="18">
        <v>190.0</v>
      </c>
      <c r="E8" s="18">
        <v>151.0</v>
      </c>
      <c r="F8" s="18">
        <v>164.0</v>
      </c>
      <c r="G8" s="17"/>
      <c r="H8" s="17"/>
      <c r="I8" s="17"/>
      <c r="J8" s="17"/>
    </row>
    <row r="9">
      <c r="A9" s="6" t="s">
        <v>45</v>
      </c>
      <c r="B9" s="13" t="s">
        <v>42</v>
      </c>
      <c r="C9" s="17">
        <v>102.0</v>
      </c>
      <c r="D9" s="18">
        <v>143.0</v>
      </c>
      <c r="E9" s="18">
        <v>126.0</v>
      </c>
      <c r="F9" s="18">
        <v>164.0</v>
      </c>
      <c r="G9" s="17"/>
      <c r="H9" s="17"/>
      <c r="I9" s="17"/>
      <c r="J9" s="17"/>
    </row>
    <row r="10">
      <c r="A10" s="6" t="s">
        <v>46</v>
      </c>
      <c r="B10" s="13" t="s">
        <v>47</v>
      </c>
      <c r="C10" s="19">
        <f t="shared" ref="C10:J10" si="1">IF(N(C8)=0,0,C8-C9)</f>
        <v>45</v>
      </c>
      <c r="D10" s="19">
        <f t="shared" si="1"/>
        <v>47</v>
      </c>
      <c r="E10" s="19">
        <f t="shared" si="1"/>
        <v>25</v>
      </c>
      <c r="F10" s="19">
        <f t="shared" si="1"/>
        <v>0</v>
      </c>
      <c r="G10" s="19">
        <f t="shared" si="1"/>
        <v>0</v>
      </c>
      <c r="H10" s="19">
        <f t="shared" si="1"/>
        <v>0</v>
      </c>
      <c r="I10" s="19">
        <f t="shared" si="1"/>
        <v>0</v>
      </c>
      <c r="J10" s="19">
        <f t="shared" si="1"/>
        <v>0</v>
      </c>
    </row>
    <row r="11">
      <c r="A11" s="6" t="s">
        <v>48</v>
      </c>
      <c r="B11" s="13" t="s">
        <v>47</v>
      </c>
      <c r="C11" s="20">
        <f t="shared" ref="C11:J11" si="2">IF(N(C9)=0,0,C6/C9)</f>
        <v>15.14705882</v>
      </c>
      <c r="D11" s="20">
        <f t="shared" si="2"/>
        <v>13.80832168</v>
      </c>
      <c r="E11" s="20">
        <f t="shared" si="2"/>
        <v>15.00888889</v>
      </c>
      <c r="F11" s="20">
        <f t="shared" si="2"/>
        <v>12.09756098</v>
      </c>
      <c r="G11" s="20">
        <f t="shared" si="2"/>
        <v>0</v>
      </c>
      <c r="H11" s="20">
        <f t="shared" si="2"/>
        <v>0</v>
      </c>
      <c r="I11" s="20">
        <f t="shared" si="2"/>
        <v>0</v>
      </c>
      <c r="J11" s="20">
        <f t="shared" si="2"/>
        <v>0</v>
      </c>
    </row>
    <row r="12">
      <c r="A12" s="21" t="s">
        <v>49</v>
      </c>
      <c r="B12" s="13" t="s">
        <v>42</v>
      </c>
      <c r="C12" s="17">
        <v>17.0</v>
      </c>
      <c r="D12" s="18">
        <v>10.0</v>
      </c>
      <c r="E12" s="18">
        <v>17.0</v>
      </c>
      <c r="F12" s="18">
        <v>20.0</v>
      </c>
      <c r="G12" s="17"/>
      <c r="H12" s="17"/>
      <c r="I12" s="17"/>
      <c r="J12" s="17"/>
    </row>
    <row r="13">
      <c r="A13" s="21" t="s">
        <v>50</v>
      </c>
      <c r="B13" s="13" t="s">
        <v>47</v>
      </c>
      <c r="C13" s="22">
        <f t="shared" ref="C13:J13" si="3">IF(N(C9)=0,0,C12/C9)</f>
        <v>0.1666666667</v>
      </c>
      <c r="D13" s="22">
        <f t="shared" si="3"/>
        <v>0.06993006993</v>
      </c>
      <c r="E13" s="22">
        <f t="shared" si="3"/>
        <v>0.1349206349</v>
      </c>
      <c r="F13" s="22">
        <f t="shared" si="3"/>
        <v>0.1219512195</v>
      </c>
      <c r="G13" s="22">
        <f t="shared" si="3"/>
        <v>0</v>
      </c>
      <c r="H13" s="22">
        <f t="shared" si="3"/>
        <v>0</v>
      </c>
      <c r="I13" s="22">
        <f t="shared" si="3"/>
        <v>0</v>
      </c>
      <c r="J13" s="22">
        <f t="shared" si="3"/>
        <v>0</v>
      </c>
    </row>
    <row r="14">
      <c r="A14" s="6" t="s">
        <v>11</v>
      </c>
      <c r="B14" s="13" t="s">
        <v>42</v>
      </c>
      <c r="C14" s="17">
        <v>20.0</v>
      </c>
      <c r="D14" s="18">
        <v>20.0</v>
      </c>
      <c r="E14" s="18">
        <v>20.0</v>
      </c>
      <c r="F14" s="18">
        <v>20.0</v>
      </c>
      <c r="G14" s="18">
        <v>30.0</v>
      </c>
      <c r="H14" s="17"/>
      <c r="I14" s="17"/>
      <c r="J14" s="17"/>
    </row>
    <row r="16" ht="18.0" customHeight="1">
      <c r="A16" s="12" t="s">
        <v>15</v>
      </c>
      <c r="B16" s="2"/>
      <c r="C16" s="2"/>
      <c r="D16" s="2"/>
      <c r="E16" s="2"/>
      <c r="F16" s="2"/>
      <c r="G16" s="2"/>
      <c r="H16" s="2"/>
      <c r="I16" s="2"/>
      <c r="J16" s="3"/>
    </row>
    <row r="17">
      <c r="A17" s="6" t="s">
        <v>41</v>
      </c>
      <c r="B17" s="13" t="s">
        <v>42</v>
      </c>
      <c r="C17" s="14">
        <v>1541.64</v>
      </c>
      <c r="D17" s="15">
        <v>1987.0</v>
      </c>
      <c r="E17" s="15">
        <v>1930.0</v>
      </c>
      <c r="F17" s="15">
        <v>1996.0</v>
      </c>
      <c r="G17" s="14"/>
      <c r="H17" s="14"/>
      <c r="I17" s="14"/>
      <c r="J17" s="14"/>
    </row>
    <row r="18">
      <c r="A18" s="16" t="s">
        <v>43</v>
      </c>
      <c r="B18" s="13"/>
      <c r="C18" s="17"/>
      <c r="D18" s="18"/>
      <c r="E18" s="17"/>
      <c r="F18" s="17"/>
      <c r="G18" s="17"/>
      <c r="H18" s="17"/>
      <c r="I18" s="17"/>
      <c r="J18" s="17"/>
    </row>
    <row r="19">
      <c r="A19" s="6" t="s">
        <v>44</v>
      </c>
      <c r="B19" s="13" t="s">
        <v>42</v>
      </c>
      <c r="C19" s="17">
        <v>139.0</v>
      </c>
      <c r="D19" s="18">
        <v>180.0</v>
      </c>
      <c r="E19" s="18">
        <v>146.0</v>
      </c>
      <c r="F19" s="18">
        <v>143.0</v>
      </c>
      <c r="G19" s="17"/>
      <c r="H19" s="17"/>
      <c r="I19" s="17"/>
      <c r="J19" s="17"/>
    </row>
    <row r="20">
      <c r="A20" s="6" t="s">
        <v>45</v>
      </c>
      <c r="B20" s="13" t="s">
        <v>42</v>
      </c>
      <c r="C20" s="17">
        <v>116.0</v>
      </c>
      <c r="D20" s="18">
        <v>165.0</v>
      </c>
      <c r="E20" s="18">
        <v>116.0</v>
      </c>
      <c r="F20" s="18">
        <v>127.0</v>
      </c>
      <c r="G20" s="17"/>
      <c r="H20" s="17"/>
      <c r="I20" s="17"/>
      <c r="J20" s="17"/>
    </row>
    <row r="21">
      <c r="A21" s="6" t="s">
        <v>46</v>
      </c>
      <c r="B21" s="13" t="s">
        <v>47</v>
      </c>
      <c r="C21" s="19">
        <f t="shared" ref="C21:J21" si="4">IF(N(C19)=0,0,C19-C20)</f>
        <v>23</v>
      </c>
      <c r="D21" s="19">
        <f t="shared" si="4"/>
        <v>15</v>
      </c>
      <c r="E21" s="19">
        <f t="shared" si="4"/>
        <v>30</v>
      </c>
      <c r="F21" s="19">
        <f t="shared" si="4"/>
        <v>16</v>
      </c>
      <c r="G21" s="19">
        <f t="shared" si="4"/>
        <v>0</v>
      </c>
      <c r="H21" s="19">
        <f t="shared" si="4"/>
        <v>0</v>
      </c>
      <c r="I21" s="19">
        <f t="shared" si="4"/>
        <v>0</v>
      </c>
      <c r="J21" s="19">
        <f t="shared" si="4"/>
        <v>0</v>
      </c>
    </row>
    <row r="22">
      <c r="A22" s="6" t="s">
        <v>48</v>
      </c>
      <c r="B22" s="13" t="s">
        <v>47</v>
      </c>
      <c r="C22" s="20">
        <f t="shared" ref="C22:J22" si="5">IF(N(C20)=0,0,C17/C20)</f>
        <v>13.29</v>
      </c>
      <c r="D22" s="20">
        <f t="shared" si="5"/>
        <v>12.04242424</v>
      </c>
      <c r="E22" s="20">
        <f t="shared" si="5"/>
        <v>16.63793103</v>
      </c>
      <c r="F22" s="20">
        <f t="shared" si="5"/>
        <v>15.71653543</v>
      </c>
      <c r="G22" s="20">
        <f t="shared" si="5"/>
        <v>0</v>
      </c>
      <c r="H22" s="20">
        <f t="shared" si="5"/>
        <v>0</v>
      </c>
      <c r="I22" s="20">
        <f t="shared" si="5"/>
        <v>0</v>
      </c>
      <c r="J22" s="20">
        <f t="shared" si="5"/>
        <v>0</v>
      </c>
    </row>
    <row r="23" ht="15.75" customHeight="1">
      <c r="A23" s="6" t="s">
        <v>51</v>
      </c>
      <c r="B23" s="13" t="s">
        <v>42</v>
      </c>
      <c r="C23" s="17">
        <v>14.0</v>
      </c>
      <c r="D23" s="18">
        <v>15.0</v>
      </c>
      <c r="E23" s="18">
        <v>22.0</v>
      </c>
      <c r="F23" s="18">
        <v>31.0</v>
      </c>
      <c r="G23" s="17"/>
      <c r="H23" s="17"/>
      <c r="I23" s="17"/>
      <c r="J23" s="17"/>
    </row>
    <row r="24" ht="15.75" customHeight="1">
      <c r="A24" s="23" t="s">
        <v>52</v>
      </c>
      <c r="B24" s="24" t="s">
        <v>47</v>
      </c>
      <c r="C24" s="17">
        <f t="shared" ref="C24:D24" si="6">C23-C25</f>
        <v>5</v>
      </c>
      <c r="D24" s="18">
        <f t="shared" si="6"/>
        <v>12</v>
      </c>
      <c r="E24" s="18">
        <v>14.0</v>
      </c>
      <c r="F24" s="17">
        <f t="shared" ref="F24:J24" si="7">F23-F25</f>
        <v>19</v>
      </c>
      <c r="G24" s="17">
        <f t="shared" si="7"/>
        <v>0</v>
      </c>
      <c r="H24" s="17">
        <f t="shared" si="7"/>
        <v>0</v>
      </c>
      <c r="I24" s="17">
        <f t="shared" si="7"/>
        <v>0</v>
      </c>
      <c r="J24" s="17">
        <f t="shared" si="7"/>
        <v>0</v>
      </c>
    </row>
    <row r="25" ht="15.75" customHeight="1">
      <c r="A25" s="6" t="s">
        <v>53</v>
      </c>
      <c r="B25" s="13" t="s">
        <v>42</v>
      </c>
      <c r="C25" s="17">
        <v>9.0</v>
      </c>
      <c r="D25" s="18">
        <v>3.0</v>
      </c>
      <c r="E25" s="18">
        <v>10.0</v>
      </c>
      <c r="F25" s="18">
        <v>12.0</v>
      </c>
      <c r="G25" s="17"/>
      <c r="H25" s="17"/>
      <c r="I25" s="17"/>
      <c r="J25" s="17"/>
    </row>
    <row r="26" ht="15.75" customHeight="1">
      <c r="A26" s="16" t="s">
        <v>54</v>
      </c>
      <c r="B26" s="13"/>
      <c r="C26" s="22"/>
      <c r="D26" s="22"/>
      <c r="E26" s="25">
        <v>30.0</v>
      </c>
      <c r="F26" s="22"/>
      <c r="G26" s="22"/>
      <c r="H26" s="22"/>
      <c r="I26" s="22"/>
      <c r="J26" s="22"/>
    </row>
    <row r="27" ht="15.75" customHeight="1">
      <c r="A27" s="6" t="s">
        <v>55</v>
      </c>
      <c r="B27" s="13" t="s">
        <v>47</v>
      </c>
      <c r="C27" s="22">
        <f t="shared" ref="C27:J27" si="8">IF(N(C23)=0,0,C25/C23)</f>
        <v>0.6428571429</v>
      </c>
      <c r="D27" s="22">
        <f t="shared" si="8"/>
        <v>0.2</v>
      </c>
      <c r="E27" s="22">
        <f t="shared" si="8"/>
        <v>0.4545454545</v>
      </c>
      <c r="F27" s="22">
        <f t="shared" si="8"/>
        <v>0.3870967742</v>
      </c>
      <c r="G27" s="22">
        <f t="shared" si="8"/>
        <v>0</v>
      </c>
      <c r="H27" s="22">
        <f t="shared" si="8"/>
        <v>0</v>
      </c>
      <c r="I27" s="22">
        <f t="shared" si="8"/>
        <v>0</v>
      </c>
      <c r="J27" s="22">
        <f t="shared" si="8"/>
        <v>0</v>
      </c>
    </row>
    <row r="28" ht="15.75" customHeight="1">
      <c r="A28" s="6" t="s">
        <v>56</v>
      </c>
      <c r="B28" s="13" t="s">
        <v>47</v>
      </c>
      <c r="C28" s="22">
        <f t="shared" ref="C28:J28" si="9">IF(N(C20)=0,0,C23/C20)</f>
        <v>0.1206896552</v>
      </c>
      <c r="D28" s="22">
        <f t="shared" si="9"/>
        <v>0.09090909091</v>
      </c>
      <c r="E28" s="22">
        <f t="shared" si="9"/>
        <v>0.1896551724</v>
      </c>
      <c r="F28" s="22">
        <f t="shared" si="9"/>
        <v>0.2440944882</v>
      </c>
      <c r="G28" s="22">
        <f t="shared" si="9"/>
        <v>0</v>
      </c>
      <c r="H28" s="22">
        <f t="shared" si="9"/>
        <v>0</v>
      </c>
      <c r="I28" s="22">
        <f t="shared" si="9"/>
        <v>0</v>
      </c>
      <c r="J28" s="22">
        <f t="shared" si="9"/>
        <v>0</v>
      </c>
    </row>
    <row r="29" ht="15.75" customHeight="1">
      <c r="A29" s="6" t="s">
        <v>57</v>
      </c>
      <c r="B29" s="13" t="s">
        <v>42</v>
      </c>
      <c r="C29" s="17">
        <v>3.0</v>
      </c>
      <c r="D29" s="18">
        <v>1.0</v>
      </c>
      <c r="E29" s="18">
        <v>7.0</v>
      </c>
      <c r="F29" s="18">
        <v>0.0</v>
      </c>
      <c r="G29" s="17"/>
      <c r="H29" s="17"/>
      <c r="I29" s="17"/>
      <c r="J29" s="17"/>
    </row>
    <row r="30" ht="15.75" customHeight="1">
      <c r="A30" s="21" t="s">
        <v>49</v>
      </c>
      <c r="B30" s="13" t="s">
        <v>42</v>
      </c>
      <c r="C30" s="17">
        <v>2.0</v>
      </c>
      <c r="D30" s="18">
        <v>9.0</v>
      </c>
      <c r="E30" s="18">
        <v>12.0</v>
      </c>
      <c r="F30" s="18">
        <v>12.0</v>
      </c>
      <c r="G30" s="17"/>
      <c r="H30" s="17"/>
      <c r="I30" s="17"/>
      <c r="J30" s="17"/>
    </row>
    <row r="31" ht="15.75" customHeight="1">
      <c r="A31" s="26" t="s">
        <v>58</v>
      </c>
      <c r="B31" s="13" t="s">
        <v>47</v>
      </c>
      <c r="C31" s="27">
        <f t="shared" ref="C31:D31" si="10">IFERROR(C30/C23, 0)</f>
        <v>0.1428571429</v>
      </c>
      <c r="D31" s="27">
        <f t="shared" si="10"/>
        <v>0.6</v>
      </c>
      <c r="E31" s="27">
        <f t="shared" ref="E31:J31" si="11">IFERROR(E30/E24, 0)</f>
        <v>0.8571428571</v>
      </c>
      <c r="F31" s="27">
        <f t="shared" si="11"/>
        <v>0.6315789474</v>
      </c>
      <c r="G31" s="27">
        <f t="shared" si="11"/>
        <v>0</v>
      </c>
      <c r="H31" s="27">
        <f t="shared" si="11"/>
        <v>0</v>
      </c>
      <c r="I31" s="27">
        <f t="shared" si="11"/>
        <v>0</v>
      </c>
      <c r="J31" s="27">
        <f t="shared" si="11"/>
        <v>0</v>
      </c>
    </row>
    <row r="32" ht="15.75" customHeight="1">
      <c r="A32" s="6" t="s">
        <v>11</v>
      </c>
      <c r="B32" s="13" t="s">
        <v>42</v>
      </c>
      <c r="C32" s="17">
        <v>7.0</v>
      </c>
      <c r="D32" s="18">
        <v>7.0</v>
      </c>
      <c r="E32" s="18">
        <v>15.0</v>
      </c>
      <c r="F32" s="18">
        <v>15.0</v>
      </c>
      <c r="G32" s="18">
        <v>25.0</v>
      </c>
      <c r="H32" s="17"/>
      <c r="I32" s="17"/>
      <c r="J32" s="17"/>
    </row>
    <row r="33" ht="15.75" customHeight="1"/>
    <row r="34" ht="18.0" customHeight="1">
      <c r="A34" s="28" t="s">
        <v>59</v>
      </c>
      <c r="B34" s="2"/>
      <c r="C34" s="2"/>
      <c r="D34" s="2"/>
      <c r="E34" s="2"/>
      <c r="F34" s="2"/>
      <c r="G34" s="2"/>
      <c r="H34" s="2"/>
      <c r="I34" s="2"/>
      <c r="J34" s="3"/>
    </row>
    <row r="35" ht="15.75" customHeight="1">
      <c r="A35" s="6" t="s">
        <v>60</v>
      </c>
      <c r="B35" s="13" t="s">
        <v>47</v>
      </c>
      <c r="C35" s="19">
        <f t="shared" ref="C35:J35" si="12">C9+C20</f>
        <v>218</v>
      </c>
      <c r="D35" s="19">
        <f t="shared" si="12"/>
        <v>308</v>
      </c>
      <c r="E35" s="19">
        <f t="shared" si="12"/>
        <v>242</v>
      </c>
      <c r="F35" s="19">
        <f t="shared" si="12"/>
        <v>291</v>
      </c>
      <c r="G35" s="19">
        <f t="shared" si="12"/>
        <v>0</v>
      </c>
      <c r="H35" s="19">
        <f t="shared" si="12"/>
        <v>0</v>
      </c>
      <c r="I35" s="19">
        <f t="shared" si="12"/>
        <v>0</v>
      </c>
      <c r="J35" s="19">
        <f t="shared" si="12"/>
        <v>0</v>
      </c>
    </row>
    <row r="36" ht="15.75" customHeight="1">
      <c r="A36" s="6" t="s">
        <v>61</v>
      </c>
      <c r="B36" s="13" t="s">
        <v>47</v>
      </c>
      <c r="C36" s="20">
        <f t="shared" ref="C36:J36" si="13">C6+C17</f>
        <v>3086.64</v>
      </c>
      <c r="D36" s="20">
        <f t="shared" si="13"/>
        <v>3961.59</v>
      </c>
      <c r="E36" s="20">
        <f t="shared" si="13"/>
        <v>3821.12</v>
      </c>
      <c r="F36" s="20">
        <f t="shared" si="13"/>
        <v>3980</v>
      </c>
      <c r="G36" s="20">
        <f t="shared" si="13"/>
        <v>0</v>
      </c>
      <c r="H36" s="20">
        <f t="shared" si="13"/>
        <v>0</v>
      </c>
      <c r="I36" s="20">
        <f t="shared" si="13"/>
        <v>0</v>
      </c>
      <c r="J36" s="20">
        <f t="shared" si="13"/>
        <v>0</v>
      </c>
    </row>
    <row r="37" ht="15.75" customHeight="1">
      <c r="A37" s="29" t="s">
        <v>62</v>
      </c>
      <c r="B37" s="30" t="s">
        <v>47</v>
      </c>
      <c r="C37" s="31">
        <f t="shared" ref="C37:J37" si="14">C12+C30</f>
        <v>19</v>
      </c>
      <c r="D37" s="31">
        <f t="shared" si="14"/>
        <v>19</v>
      </c>
      <c r="E37" s="31">
        <f t="shared" si="14"/>
        <v>29</v>
      </c>
      <c r="F37" s="31">
        <f t="shared" si="14"/>
        <v>32</v>
      </c>
      <c r="G37" s="31">
        <f t="shared" si="14"/>
        <v>0</v>
      </c>
      <c r="H37" s="31">
        <f t="shared" si="14"/>
        <v>0</v>
      </c>
      <c r="I37" s="31">
        <f t="shared" si="14"/>
        <v>0</v>
      </c>
      <c r="J37" s="31">
        <f t="shared" si="14"/>
        <v>0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6" t="s">
        <v>63</v>
      </c>
      <c r="B38" s="13" t="s">
        <v>47</v>
      </c>
      <c r="C38" s="20">
        <f t="shared" ref="C38:J38" si="15">IF((C12+C30)=0,0,(C6+C17)/(C12+C30))</f>
        <v>162.4547368</v>
      </c>
      <c r="D38" s="20">
        <f t="shared" si="15"/>
        <v>208.5047368</v>
      </c>
      <c r="E38" s="20">
        <f t="shared" si="15"/>
        <v>131.7627586</v>
      </c>
      <c r="F38" s="20">
        <f t="shared" si="15"/>
        <v>124.375</v>
      </c>
      <c r="G38" s="20">
        <f t="shared" si="15"/>
        <v>0</v>
      </c>
      <c r="H38" s="20">
        <f t="shared" si="15"/>
        <v>0</v>
      </c>
      <c r="I38" s="20">
        <f t="shared" si="15"/>
        <v>0</v>
      </c>
      <c r="J38" s="20">
        <f t="shared" si="15"/>
        <v>0</v>
      </c>
    </row>
    <row r="39" ht="15.75" customHeight="1">
      <c r="A39" s="6" t="s">
        <v>64</v>
      </c>
      <c r="B39" s="13" t="s">
        <v>47</v>
      </c>
      <c r="C39" s="19">
        <f t="shared" ref="C39:J39" si="16">C14+C32</f>
        <v>27</v>
      </c>
      <c r="D39" s="19">
        <f t="shared" si="16"/>
        <v>27</v>
      </c>
      <c r="E39" s="19">
        <f t="shared" si="16"/>
        <v>35</v>
      </c>
      <c r="F39" s="19">
        <f t="shared" si="16"/>
        <v>35</v>
      </c>
      <c r="G39" s="19">
        <f t="shared" si="16"/>
        <v>55</v>
      </c>
      <c r="H39" s="19">
        <f t="shared" si="16"/>
        <v>0</v>
      </c>
      <c r="I39" s="19">
        <f t="shared" si="16"/>
        <v>0</v>
      </c>
      <c r="J39" s="19">
        <f t="shared" si="16"/>
        <v>0</v>
      </c>
    </row>
    <row r="40" ht="15.75" customHeight="1">
      <c r="A40" s="21" t="s">
        <v>65</v>
      </c>
      <c r="B40" s="13" t="s">
        <v>47</v>
      </c>
      <c r="C40" s="22">
        <f t="shared" ref="C40:J40" si="17">IF((C14+C32)=0,0,(C12+C30)/(C14+C32))</f>
        <v>0.7037037037</v>
      </c>
      <c r="D40" s="22">
        <f t="shared" si="17"/>
        <v>0.7037037037</v>
      </c>
      <c r="E40" s="22">
        <f t="shared" si="17"/>
        <v>0.8285714286</v>
      </c>
      <c r="F40" s="22">
        <f t="shared" si="17"/>
        <v>0.9142857143</v>
      </c>
      <c r="G40" s="22">
        <f t="shared" si="17"/>
        <v>0</v>
      </c>
      <c r="H40" s="22">
        <f t="shared" si="17"/>
        <v>0</v>
      </c>
      <c r="I40" s="22">
        <f t="shared" si="17"/>
        <v>0</v>
      </c>
      <c r="J40" s="22">
        <f t="shared" si="17"/>
        <v>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1:J1"/>
    <mergeCell ref="A2:J2"/>
    <mergeCell ref="A5:J5"/>
    <mergeCell ref="A16:J16"/>
    <mergeCell ref="A34:J3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52.0"/>
    <col customWidth="1" min="4" max="26" width="8.71"/>
  </cols>
  <sheetData>
    <row r="1" ht="25.5" customHeight="1">
      <c r="A1" s="1" t="s">
        <v>1</v>
      </c>
      <c r="B1" s="2"/>
      <c r="C1" s="3"/>
    </row>
    <row r="3" ht="18.0" customHeight="1">
      <c r="A3" s="4" t="s">
        <v>2</v>
      </c>
      <c r="B3" s="2"/>
      <c r="C3" s="3"/>
    </row>
    <row r="4">
      <c r="A4" s="6" t="s">
        <v>4</v>
      </c>
      <c r="B4" s="7" t="s">
        <v>5</v>
      </c>
      <c r="C4" s="8" t="s">
        <v>6</v>
      </c>
    </row>
    <row r="5">
      <c r="A5" s="6" t="s">
        <v>8</v>
      </c>
      <c r="B5" s="7" t="s">
        <v>9</v>
      </c>
      <c r="C5" s="8" t="s">
        <v>10</v>
      </c>
    </row>
    <row r="6">
      <c r="A6" s="6" t="s">
        <v>11</v>
      </c>
      <c r="B6" s="7" t="s">
        <v>13</v>
      </c>
      <c r="C6" s="8" t="s">
        <v>14</v>
      </c>
    </row>
    <row r="7" ht="18.0" customHeight="1">
      <c r="A7" s="4" t="s">
        <v>15</v>
      </c>
      <c r="B7" s="2"/>
      <c r="C7" s="3"/>
    </row>
    <row r="8">
      <c r="A8" s="6" t="s">
        <v>17</v>
      </c>
      <c r="B8" s="7" t="s">
        <v>19</v>
      </c>
      <c r="C8" s="8" t="s">
        <v>20</v>
      </c>
    </row>
    <row r="9">
      <c r="A9" s="6" t="s">
        <v>23</v>
      </c>
      <c r="B9" s="7" t="s">
        <v>24</v>
      </c>
      <c r="C9" s="8" t="s">
        <v>26</v>
      </c>
    </row>
    <row r="10">
      <c r="A10" s="6" t="s">
        <v>28</v>
      </c>
      <c r="B10" s="7" t="s">
        <v>29</v>
      </c>
      <c r="C10" s="8" t="s">
        <v>30</v>
      </c>
    </row>
    <row r="11">
      <c r="A11" s="6" t="s">
        <v>32</v>
      </c>
      <c r="B11" s="7" t="s">
        <v>35</v>
      </c>
      <c r="C11" s="8" t="s">
        <v>30</v>
      </c>
    </row>
    <row r="12">
      <c r="A12" s="6" t="s">
        <v>36</v>
      </c>
      <c r="B12" s="7" t="s">
        <v>37</v>
      </c>
      <c r="C12" s="8" t="s">
        <v>38</v>
      </c>
    </row>
    <row r="13">
      <c r="A13" s="6" t="s">
        <v>11</v>
      </c>
      <c r="B13" s="7" t="s">
        <v>39</v>
      </c>
      <c r="C13" s="8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3:C3"/>
    <mergeCell ref="A7:C7"/>
  </mergeCells>
  <printOptions/>
  <pageMargins bottom="1.0" footer="0.0" header="0.0" left="0.75" right="0.75" top="1.0"/>
  <pageSetup paperSize="9" orientation="portrait"/>
  <drawing r:id="rId1"/>
</worksheet>
</file>